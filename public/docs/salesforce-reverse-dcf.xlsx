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atviktalchuru/Downloads/"/>
    </mc:Choice>
  </mc:AlternateContent>
  <xr:revisionPtr revIDLastSave="0" documentId="13_ncr:1_{59340470-596A-CD4A-BDAB-FECCEFC95EF5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Reverse DCF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43" i="1" s="1"/>
  <c r="B24" i="1"/>
  <c r="B25" i="1" s="1"/>
  <c r="B8" i="1"/>
  <c r="B9" i="1" s="1"/>
  <c r="B26" i="1" l="1"/>
  <c r="C25" i="1"/>
  <c r="C24" i="1"/>
  <c r="B27" i="1" l="1"/>
  <c r="C26" i="1"/>
  <c r="B28" i="1" l="1"/>
  <c r="C27" i="1"/>
  <c r="B31" i="1" l="1"/>
  <c r="C32" i="1" s="1"/>
  <c r="C28" i="1"/>
  <c r="C29" i="1" s="1"/>
  <c r="C34" i="1" s="1"/>
  <c r="B37" i="1" s="1"/>
</calcChain>
</file>

<file path=xl/sharedStrings.xml><?xml version="1.0" encoding="utf-8"?>
<sst xmlns="http://schemas.openxmlformats.org/spreadsheetml/2006/main" count="77" uniqueCount="70">
  <si>
    <t>Salesforce (CRM) — Reverse DCF Model</t>
  </si>
  <si>
    <t>A.  Market Inputs</t>
  </si>
  <si>
    <t>Goal Seek Instructions</t>
  </si>
  <si>
    <t>Input</t>
  </si>
  <si>
    <t>Value</t>
  </si>
  <si>
    <t>Source / Note</t>
  </si>
  <si>
    <t>Step 1</t>
  </si>
  <si>
    <t>Go to Data → What-If Analysis → Goal Seek</t>
  </si>
  <si>
    <t>Market Price ($/share)</t>
  </si>
  <si>
    <t>Yahoo Finance</t>
  </si>
  <si>
    <t>Step 2</t>
  </si>
  <si>
    <t>Set Cell:  B37  (Difference row)</t>
  </si>
  <si>
    <t>Shares Outstanding</t>
  </si>
  <si>
    <t>Step 3</t>
  </si>
  <si>
    <t>To Value:  0</t>
  </si>
  <si>
    <t>Net Debt ($)</t>
  </si>
  <si>
    <t>Calculated: Total Debt – Cash</t>
  </si>
  <si>
    <t>Step 4</t>
  </si>
  <si>
    <t>By Changing Cell:  B20  (Implied Growth Rate)</t>
  </si>
  <si>
    <t>Market Cap ($)</t>
  </si>
  <si>
    <t>Step 5</t>
  </si>
  <si>
    <t>Click OK — Excel will solve for g*</t>
  </si>
  <si>
    <t>Implied Enterprise Value ($)</t>
  </si>
  <si>
    <t>Step 6</t>
  </si>
  <si>
    <t>Read result in cell B20 (yellow cell)</t>
  </si>
  <si>
    <t>B.  DCF Assumptions</t>
  </si>
  <si>
    <t>Color Coding Key</t>
  </si>
  <si>
    <t>Assumption</t>
  </si>
  <si>
    <t>Blue text</t>
  </si>
  <si>
    <t>Hardcoded input — change for scenarios</t>
  </si>
  <si>
    <t>Current Free Cash Flow ($)</t>
  </si>
  <si>
    <t>Black text</t>
  </si>
  <si>
    <t>Formula / calculated value</t>
  </si>
  <si>
    <t>WACC</t>
  </si>
  <si>
    <t>Calculated (see DCF sheet)</t>
  </si>
  <si>
    <t>Yellow cell</t>
  </si>
  <si>
    <t>Goal Seek input/target cell</t>
  </si>
  <si>
    <t>Projection Years</t>
  </si>
  <si>
    <t>As stated in instructions</t>
  </si>
  <si>
    <t>Terminal Growth Rate</t>
  </si>
  <si>
    <t>Conservative LT assumption</t>
  </si>
  <si>
    <t>C.  Implied FCF Growth Rate (Goal Seek)</t>
  </si>
  <si>
    <t>Cell</t>
  </si>
  <si>
    <t>Instructions</t>
  </si>
  <si>
    <t>Implied FCF Growth Rate (g*)</t>
  </si>
  <si>
    <t>← CHANGE THIS via Goal Seek (see instructions below)</t>
  </si>
  <si>
    <t>D.  DCF Build Using g*</t>
  </si>
  <si>
    <t>Year</t>
  </si>
  <si>
    <t>Projected FCF ($)</t>
  </si>
  <si>
    <t>Present Value ($)</t>
  </si>
  <si>
    <t>Year 1</t>
  </si>
  <si>
    <t>Year 2</t>
  </si>
  <si>
    <t>Year 3</t>
  </si>
  <si>
    <t>Year 4</t>
  </si>
  <si>
    <t>Year 5</t>
  </si>
  <si>
    <t>PV of Forecast Period FCFs</t>
  </si>
  <si>
    <t>Terminal Value (Gordon Growth)</t>
  </si>
  <si>
    <t>PV of Terminal Value</t>
  </si>
  <si>
    <t>Model-Implied Enterprise Value</t>
  </si>
  <si>
    <t>E.  Goal Seek Target Cell</t>
  </si>
  <si>
    <t>Difference: Model EV – Market EV  (→ Goal Seek to 0)</t>
  </si>
  <si>
    <t>Goal Seek: Set B37 = 0, By Changing B20</t>
  </si>
  <si>
    <t>F.  Growth Rate Comparison</t>
  </si>
  <si>
    <t>Metric</t>
  </si>
  <si>
    <t>Source</t>
  </si>
  <si>
    <t>Solved via Goal Seek above</t>
  </si>
  <si>
    <t>Your DCF Model Growth Rate</t>
  </si>
  <si>
    <t>Salesforce Official Fiscal Report</t>
  </si>
  <si>
    <t>Implied vs. Model (Δ)</t>
  </si>
  <si>
    <t>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</si>
</sst>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sz val="11"/>
      <color rgb="FF0000FF"/>
      <name val="Times New Roman"/>
      <family val="1"/>
    </font>
    <font>
      <i/>
      <sz val="10"/>
      <color rgb="FF595959"/>
      <name val="Times New Roman"/>
      <family val="1"/>
    </font>
    <font>
      <sz val="11"/>
      <color rgb="FF000000"/>
      <name val="Times New Roman"/>
      <family val="1"/>
    </font>
    <font>
      <b/>
      <sz val="11"/>
      <color rgb="FF0000FF"/>
      <name val="Times New Roman"/>
      <family val="1"/>
    </font>
    <font>
      <i/>
      <sz val="10"/>
      <color rgb="FF7F6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/>
    </xf>
    <xf numFmtId="0" fontId="6" fillId="0" borderId="1" xfId="0" applyFont="1" applyBorder="1"/>
    <xf numFmtId="165" fontId="5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166" fontId="5" fillId="0" borderId="1" xfId="0" applyNumberFormat="1" applyFont="1" applyBorder="1" applyAlignment="1">
      <alignment horizontal="right"/>
    </xf>
    <xf numFmtId="0" fontId="2" fillId="4" borderId="1" xfId="0" applyFont="1" applyFill="1" applyBorder="1"/>
    <xf numFmtId="1" fontId="5" fillId="0" borderId="1" xfId="0" applyNumberFormat="1" applyFont="1" applyBorder="1" applyAlignment="1">
      <alignment horizontal="right"/>
    </xf>
    <xf numFmtId="10" fontId="8" fillId="4" borderId="1" xfId="0" applyNumberFormat="1" applyFont="1" applyFill="1" applyBorder="1" applyAlignment="1">
      <alignment horizontal="right"/>
    </xf>
    <xf numFmtId="0" fontId="9" fillId="0" borderId="1" xfId="0" applyFont="1" applyBorder="1"/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/>
    </xf>
    <xf numFmtId="165" fontId="2" fillId="4" borderId="1" xfId="0" applyNumberFormat="1" applyFont="1" applyFill="1" applyBorder="1" applyAlignment="1">
      <alignment horizontal="right"/>
    </xf>
    <xf numFmtId="10" fontId="7" fillId="0" borderId="1" xfId="0" applyNumberFormat="1" applyFont="1" applyBorder="1" applyAlignment="1">
      <alignment horizontal="right"/>
    </xf>
    <xf numFmtId="10" fontId="2" fillId="2" borderId="1" xfId="0" applyNumberFormat="1" applyFont="1" applyFill="1" applyBorder="1" applyAlignment="1">
      <alignment horizontal="right"/>
    </xf>
    <xf numFmtId="0" fontId="4" fillId="0" borderId="1" xfId="0" applyFont="1" applyBorder="1"/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zoomScale="144" zoomScaleNormal="100" workbookViewId="0">
      <pane ySplit="1" topLeftCell="A9" activePane="bottomLeft" state="frozen"/>
      <selection pane="bottomLeft" activeCell="B37" sqref="B37"/>
    </sheetView>
  </sheetViews>
  <sheetFormatPr baseColWidth="10" defaultColWidth="8.83203125" defaultRowHeight="15" x14ac:dyDescent="0.2"/>
  <cols>
    <col min="1" max="1" width="38" customWidth="1"/>
    <col min="2" max="2" width="20" customWidth="1"/>
    <col min="3" max="3" width="22" customWidth="1"/>
    <col min="4" max="4" width="5" customWidth="1"/>
    <col min="5" max="5" width="32" customWidth="1"/>
    <col min="6" max="6" width="20" customWidth="1"/>
    <col min="7" max="7" width="22" customWidth="1"/>
  </cols>
  <sheetData>
    <row r="1" spans="1:7" ht="28" customHeight="1" x14ac:dyDescent="0.2">
      <c r="A1" s="25" t="s">
        <v>0</v>
      </c>
      <c r="B1" s="21"/>
      <c r="C1" s="21"/>
      <c r="D1" s="21"/>
      <c r="E1" s="21"/>
      <c r="F1" s="21"/>
      <c r="G1" s="21"/>
    </row>
    <row r="2" spans="1:7" ht="18" customHeight="1" x14ac:dyDescent="0.2"/>
    <row r="3" spans="1:7" ht="18" customHeight="1" x14ac:dyDescent="0.2">
      <c r="A3" s="22" t="s">
        <v>1</v>
      </c>
      <c r="B3" s="23"/>
      <c r="C3" s="24"/>
      <c r="E3" s="26" t="s">
        <v>2</v>
      </c>
      <c r="F3" s="23"/>
      <c r="G3" s="24"/>
    </row>
    <row r="4" spans="1:7" ht="18" customHeight="1" x14ac:dyDescent="0.2">
      <c r="A4" s="1" t="s">
        <v>3</v>
      </c>
      <c r="B4" s="1" t="s">
        <v>4</v>
      </c>
      <c r="C4" s="1" t="s">
        <v>5</v>
      </c>
      <c r="E4" s="2" t="s">
        <v>6</v>
      </c>
      <c r="F4" s="20" t="s">
        <v>7</v>
      </c>
      <c r="G4" s="21"/>
    </row>
    <row r="5" spans="1:7" ht="18" customHeight="1" x14ac:dyDescent="0.2">
      <c r="A5" s="3" t="s">
        <v>8</v>
      </c>
      <c r="B5" s="4">
        <v>192.83</v>
      </c>
      <c r="C5" s="5" t="s">
        <v>9</v>
      </c>
      <c r="E5" s="2" t="s">
        <v>10</v>
      </c>
      <c r="F5" s="20" t="s">
        <v>11</v>
      </c>
      <c r="G5" s="21"/>
    </row>
    <row r="6" spans="1:7" ht="18" customHeight="1" x14ac:dyDescent="0.2">
      <c r="A6" s="3" t="s">
        <v>12</v>
      </c>
      <c r="B6" s="6">
        <v>923000000</v>
      </c>
      <c r="C6" s="5" t="s">
        <v>9</v>
      </c>
      <c r="E6" s="2" t="s">
        <v>13</v>
      </c>
      <c r="F6" s="20" t="s">
        <v>14</v>
      </c>
      <c r="G6" s="21"/>
    </row>
    <row r="7" spans="1:7" ht="18" customHeight="1" x14ac:dyDescent="0.2">
      <c r="A7" s="3" t="s">
        <v>15</v>
      </c>
      <c r="B7" s="6">
        <v>7866000000</v>
      </c>
      <c r="C7" s="5" t="s">
        <v>16</v>
      </c>
      <c r="E7" s="2" t="s">
        <v>17</v>
      </c>
      <c r="F7" s="20" t="s">
        <v>18</v>
      </c>
      <c r="G7" s="21"/>
    </row>
    <row r="8" spans="1:7" ht="18" customHeight="1" x14ac:dyDescent="0.2">
      <c r="A8" s="3" t="s">
        <v>19</v>
      </c>
      <c r="B8" s="7">
        <f>B5*B6</f>
        <v>177982090000</v>
      </c>
      <c r="C8" s="8"/>
      <c r="E8" s="2" t="s">
        <v>20</v>
      </c>
      <c r="F8" s="20" t="s">
        <v>21</v>
      </c>
      <c r="G8" s="21"/>
    </row>
    <row r="9" spans="1:7" ht="18" customHeight="1" x14ac:dyDescent="0.2">
      <c r="A9" s="3" t="s">
        <v>22</v>
      </c>
      <c r="B9" s="7">
        <f>B8+B7</f>
        <v>185848090000</v>
      </c>
      <c r="C9" s="8"/>
      <c r="E9" s="2" t="s">
        <v>23</v>
      </c>
      <c r="F9" s="20" t="s">
        <v>24</v>
      </c>
      <c r="G9" s="21"/>
    </row>
    <row r="10" spans="1:7" ht="18" customHeight="1" x14ac:dyDescent="0.2"/>
    <row r="11" spans="1:7" ht="18" customHeight="1" x14ac:dyDescent="0.2">
      <c r="A11" s="22" t="s">
        <v>25</v>
      </c>
      <c r="B11" s="23"/>
      <c r="C11" s="24"/>
      <c r="E11" s="22" t="s">
        <v>26</v>
      </c>
      <c r="F11" s="23"/>
      <c r="G11" s="24"/>
    </row>
    <row r="12" spans="1:7" ht="18" customHeight="1" x14ac:dyDescent="0.2">
      <c r="A12" s="1" t="s">
        <v>27</v>
      </c>
      <c r="B12" s="1" t="s">
        <v>4</v>
      </c>
      <c r="C12" s="1" t="s">
        <v>5</v>
      </c>
      <c r="E12" s="2" t="s">
        <v>28</v>
      </c>
      <c r="F12" s="20" t="s">
        <v>29</v>
      </c>
      <c r="G12" s="21"/>
    </row>
    <row r="13" spans="1:7" ht="18" customHeight="1" x14ac:dyDescent="0.2">
      <c r="A13" s="3" t="s">
        <v>30</v>
      </c>
      <c r="B13" s="6">
        <v>14402000000</v>
      </c>
      <c r="C13" s="5" t="s">
        <v>9</v>
      </c>
      <c r="E13" s="9" t="s">
        <v>31</v>
      </c>
      <c r="F13" s="20" t="s">
        <v>32</v>
      </c>
      <c r="G13" s="21"/>
    </row>
    <row r="14" spans="1:7" ht="18" customHeight="1" x14ac:dyDescent="0.2">
      <c r="A14" s="3" t="s">
        <v>33</v>
      </c>
      <c r="B14" s="10">
        <v>0.10100000000000001</v>
      </c>
      <c r="C14" s="5" t="s">
        <v>34</v>
      </c>
      <c r="E14" s="11" t="s">
        <v>35</v>
      </c>
      <c r="F14" s="20" t="s">
        <v>36</v>
      </c>
      <c r="G14" s="21"/>
    </row>
    <row r="15" spans="1:7" ht="18" customHeight="1" x14ac:dyDescent="0.2">
      <c r="A15" s="3" t="s">
        <v>37</v>
      </c>
      <c r="B15" s="12">
        <v>5</v>
      </c>
      <c r="C15" s="5" t="s">
        <v>38</v>
      </c>
    </row>
    <row r="16" spans="1:7" ht="18" customHeight="1" x14ac:dyDescent="0.2">
      <c r="A16" s="3" t="s">
        <v>39</v>
      </c>
      <c r="B16" s="10">
        <v>2.5000000000000001E-2</v>
      </c>
      <c r="C16" s="5" t="s">
        <v>40</v>
      </c>
    </row>
    <row r="17" spans="1:3" ht="18" customHeight="1" x14ac:dyDescent="0.2"/>
    <row r="18" spans="1:3" ht="18" customHeight="1" x14ac:dyDescent="0.2">
      <c r="A18" s="22" t="s">
        <v>41</v>
      </c>
      <c r="B18" s="23"/>
      <c r="C18" s="24"/>
    </row>
    <row r="19" spans="1:3" ht="18" customHeight="1" x14ac:dyDescent="0.2">
      <c r="A19" s="1" t="s">
        <v>42</v>
      </c>
      <c r="B19" s="1" t="s">
        <v>4</v>
      </c>
      <c r="C19" s="1" t="s">
        <v>43</v>
      </c>
    </row>
    <row r="20" spans="1:3" ht="18" customHeight="1" x14ac:dyDescent="0.2">
      <c r="A20" s="3" t="s">
        <v>44</v>
      </c>
      <c r="B20" s="13">
        <v>1.4643658117513635E-2</v>
      </c>
      <c r="C20" s="14" t="s">
        <v>45</v>
      </c>
    </row>
    <row r="21" spans="1:3" ht="18" customHeight="1" x14ac:dyDescent="0.2"/>
    <row r="22" spans="1:3" ht="18" customHeight="1" x14ac:dyDescent="0.2">
      <c r="A22" s="22" t="s">
        <v>46</v>
      </c>
      <c r="B22" s="23"/>
      <c r="C22" s="24"/>
    </row>
    <row r="23" spans="1:3" ht="18" customHeight="1" x14ac:dyDescent="0.2">
      <c r="A23" s="1" t="s">
        <v>47</v>
      </c>
      <c r="B23" s="1" t="s">
        <v>48</v>
      </c>
      <c r="C23" s="1" t="s">
        <v>49</v>
      </c>
    </row>
    <row r="24" spans="1:3" ht="18" customHeight="1" x14ac:dyDescent="0.2">
      <c r="A24" s="3" t="s">
        <v>50</v>
      </c>
      <c r="B24" s="7">
        <f>B13*(1+B20)^1</f>
        <v>14612897964.208429</v>
      </c>
      <c r="C24" s="7">
        <f>B24/(1+B14)^1</f>
        <v>13272386888.472689</v>
      </c>
    </row>
    <row r="25" spans="1:3" ht="18" customHeight="1" x14ac:dyDescent="0.2">
      <c r="A25" s="3" t="s">
        <v>51</v>
      </c>
      <c r="B25" s="7">
        <f>B24*(1+B20)</f>
        <v>14826884246.102407</v>
      </c>
      <c r="C25" s="7">
        <f>B25/(1+B14)^2</f>
        <v>12231374372.816397</v>
      </c>
    </row>
    <row r="26" spans="1:3" ht="18" customHeight="1" x14ac:dyDescent="0.2">
      <c r="A26" s="3" t="s">
        <v>52</v>
      </c>
      <c r="B26" s="7">
        <f>B25*(1+B20)</f>
        <v>15044004069.950279</v>
      </c>
      <c r="C26" s="7">
        <f>B26/(1+B14)^3</f>
        <v>11272013113.02383</v>
      </c>
    </row>
    <row r="27" spans="1:3" ht="18" customHeight="1" x14ac:dyDescent="0.2">
      <c r="A27" s="3" t="s">
        <v>53</v>
      </c>
      <c r="B27" s="7">
        <f>B26*(1+B20)</f>
        <v>15264303322.269114</v>
      </c>
      <c r="C27" s="7">
        <f>B27/(1+B14)^4</f>
        <v>10387898836.827505</v>
      </c>
    </row>
    <row r="28" spans="1:3" ht="18" customHeight="1" x14ac:dyDescent="0.2">
      <c r="A28" s="3" t="s">
        <v>54</v>
      </c>
      <c r="B28" s="7">
        <f>B27*(1+B20)</f>
        <v>15487828561.522449</v>
      </c>
      <c r="C28" s="7">
        <f>B28/(1+B14)^5</f>
        <v>9573129587.6051979</v>
      </c>
    </row>
    <row r="29" spans="1:3" ht="18" customHeight="1" x14ac:dyDescent="0.2">
      <c r="A29" s="15" t="s">
        <v>55</v>
      </c>
      <c r="B29" s="8"/>
      <c r="C29" s="16">
        <f>SUM(C24:C28)</f>
        <v>56736802798.745621</v>
      </c>
    </row>
    <row r="30" spans="1:3" ht="18" customHeight="1" x14ac:dyDescent="0.2"/>
    <row r="31" spans="1:3" ht="18" customHeight="1" x14ac:dyDescent="0.2">
      <c r="A31" s="3" t="s">
        <v>56</v>
      </c>
      <c r="B31" s="7">
        <f>B28*(1+B16)/(B14-B16)</f>
        <v>208881898362.63824</v>
      </c>
    </row>
    <row r="32" spans="1:3" ht="18" customHeight="1" x14ac:dyDescent="0.2">
      <c r="A32" s="3" t="s">
        <v>57</v>
      </c>
      <c r="C32" s="7">
        <f>B31/(1+B14)^B15</f>
        <v>129111287201.25429</v>
      </c>
    </row>
    <row r="33" spans="1:3" ht="18" customHeight="1" x14ac:dyDescent="0.2"/>
    <row r="34" spans="1:3" ht="18" customHeight="1" x14ac:dyDescent="0.2">
      <c r="A34" s="15" t="s">
        <v>58</v>
      </c>
      <c r="B34" s="8"/>
      <c r="C34" s="16">
        <f>C29+C32</f>
        <v>185848089999.99991</v>
      </c>
    </row>
    <row r="35" spans="1:3" ht="18" customHeight="1" x14ac:dyDescent="0.2"/>
    <row r="36" spans="1:3" ht="18" customHeight="1" x14ac:dyDescent="0.2">
      <c r="A36" s="22" t="s">
        <v>59</v>
      </c>
      <c r="B36" s="23"/>
      <c r="C36" s="24"/>
    </row>
    <row r="37" spans="1:3" ht="18" customHeight="1" x14ac:dyDescent="0.2">
      <c r="A37" s="3" t="s">
        <v>60</v>
      </c>
      <c r="B37" s="17">
        <f>C34-B9</f>
        <v>0</v>
      </c>
      <c r="C37" s="14" t="s">
        <v>61</v>
      </c>
    </row>
    <row r="38" spans="1:3" ht="18" customHeight="1" x14ac:dyDescent="0.2"/>
    <row r="39" spans="1:3" ht="18" customHeight="1" x14ac:dyDescent="0.2">
      <c r="A39" s="22" t="s">
        <v>62</v>
      </c>
      <c r="B39" s="23"/>
      <c r="C39" s="24"/>
    </row>
    <row r="40" spans="1:3" ht="18" customHeight="1" x14ac:dyDescent="0.2">
      <c r="A40" s="1" t="s">
        <v>63</v>
      </c>
      <c r="B40" s="1" t="s">
        <v>4</v>
      </c>
      <c r="C40" s="1" t="s">
        <v>64</v>
      </c>
    </row>
    <row r="41" spans="1:3" ht="18" customHeight="1" x14ac:dyDescent="0.2">
      <c r="A41" s="3" t="s">
        <v>44</v>
      </c>
      <c r="B41" s="18">
        <f>B20</f>
        <v>1.4643658117513635E-2</v>
      </c>
      <c r="C41" s="5" t="s">
        <v>65</v>
      </c>
    </row>
    <row r="42" spans="1:3" ht="18" customHeight="1" x14ac:dyDescent="0.2">
      <c r="A42" s="3" t="s">
        <v>66</v>
      </c>
      <c r="B42" s="10">
        <v>0.1</v>
      </c>
      <c r="C42" s="5" t="s">
        <v>67</v>
      </c>
    </row>
    <row r="43" spans="1:3" ht="18" customHeight="1" x14ac:dyDescent="0.2">
      <c r="A43" s="3" t="s">
        <v>68</v>
      </c>
      <c r="B43" s="19">
        <f>B41-B42</f>
        <v>-8.5356341882486364E-2</v>
      </c>
      <c r="C43" s="5" t="s">
        <v>69</v>
      </c>
    </row>
    <row r="44" spans="1:3" ht="18" customHeight="1" x14ac:dyDescent="0.2"/>
    <row r="45" spans="1:3" ht="18" customHeight="1" x14ac:dyDescent="0.2"/>
    <row r="46" spans="1:3" ht="18" customHeight="1" x14ac:dyDescent="0.2"/>
    <row r="47" spans="1:3" ht="18" customHeight="1" x14ac:dyDescent="0.2"/>
    <row r="48" spans="1:3" ht="18" customHeight="1" x14ac:dyDescent="0.2"/>
    <row r="49" ht="18" customHeight="1" x14ac:dyDescent="0.2"/>
  </sheetData>
  <mergeCells count="18">
    <mergeCell ref="A39:C39"/>
    <mergeCell ref="E3:G3"/>
    <mergeCell ref="F13:G13"/>
    <mergeCell ref="F9:G9"/>
    <mergeCell ref="F7:G7"/>
    <mergeCell ref="F8:G8"/>
    <mergeCell ref="F4:G4"/>
    <mergeCell ref="A36:C36"/>
    <mergeCell ref="A11:C11"/>
    <mergeCell ref="A1:G1"/>
    <mergeCell ref="E11:G11"/>
    <mergeCell ref="F12:G12"/>
    <mergeCell ref="F5:G5"/>
    <mergeCell ref="A22:C22"/>
    <mergeCell ref="A18:C18"/>
    <mergeCell ref="F6:G6"/>
    <mergeCell ref="A3:C3"/>
    <mergeCell ref="F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Satvik Talchuru</cp:lastModifiedBy>
  <dcterms:created xsi:type="dcterms:W3CDTF">2026-03-17T07:07:17Z</dcterms:created>
  <dcterms:modified xsi:type="dcterms:W3CDTF">2026-03-17T07:22:31Z</dcterms:modified>
</cp:coreProperties>
</file>